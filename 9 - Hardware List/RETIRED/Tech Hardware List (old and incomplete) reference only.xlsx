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lrooms" sheetId="1" r:id="rId4"/>
    <sheet state="visible" name="Inventory List" sheetId="2" r:id="rId5"/>
  </sheets>
  <definedNames/>
  <calcPr/>
</workbook>
</file>

<file path=xl/sharedStrings.xml><?xml version="1.0" encoding="utf-8"?>
<sst xmlns="http://schemas.openxmlformats.org/spreadsheetml/2006/main" count="139" uniqueCount="68">
  <si>
    <t>Room Name</t>
  </si>
  <si>
    <t>Hardware Type</t>
  </si>
  <si>
    <t>Hardware ID</t>
  </si>
  <si>
    <t xml:space="preserve">Unique ID
</t>
  </si>
  <si>
    <t>Network Cable</t>
  </si>
  <si>
    <t>Power Cable</t>
  </si>
  <si>
    <t>Ballroom A</t>
  </si>
  <si>
    <t>Switch</t>
  </si>
  <si>
    <t>AP's (old style)</t>
  </si>
  <si>
    <t>Camera</t>
  </si>
  <si>
    <t>AV EQUIPMENT</t>
  </si>
  <si>
    <t>Mixer</t>
  </si>
  <si>
    <t>10' cable</t>
  </si>
  <si>
    <t>For Speaker Table</t>
  </si>
  <si>
    <t>15' cable</t>
  </si>
  <si>
    <t>For Podium</t>
  </si>
  <si>
    <t>Ballroom B</t>
  </si>
  <si>
    <t>25' cable</t>
  </si>
  <si>
    <t>Ballroom C</t>
  </si>
  <si>
    <t>45' cable</t>
  </si>
  <si>
    <t>60'  cable</t>
  </si>
  <si>
    <t>Ballroom D/E</t>
  </si>
  <si>
    <t>100' cable</t>
  </si>
  <si>
    <t>40' cable</t>
  </si>
  <si>
    <t xml:space="preserve">ITEM TYPE
</t>
  </si>
  <si>
    <t xml:space="preserve">TOTAL QUANTITY
</t>
  </si>
  <si>
    <t>QUANTITY IN TUBS</t>
  </si>
  <si>
    <t>ID CODE</t>
  </si>
  <si>
    <t>ETHERNET CABLES</t>
  </si>
  <si>
    <t xml:space="preserve">5' cable
</t>
  </si>
  <si>
    <t>20' cable</t>
  </si>
  <si>
    <t>30' cable</t>
  </si>
  <si>
    <t>35' cable</t>
  </si>
  <si>
    <t>50' cable</t>
  </si>
  <si>
    <t>55' cable</t>
  </si>
  <si>
    <t>70' cable</t>
  </si>
  <si>
    <t>80' cable</t>
  </si>
  <si>
    <t>90' cable</t>
  </si>
  <si>
    <t>110' cable</t>
  </si>
  <si>
    <t>120' cable</t>
  </si>
  <si>
    <t>130' cable</t>
  </si>
  <si>
    <t>140' cable</t>
  </si>
  <si>
    <t>150' cable</t>
  </si>
  <si>
    <t xml:space="preserve">160'+  cable
</t>
  </si>
  <si>
    <t>HARDWARE</t>
  </si>
  <si>
    <t>PI 1</t>
  </si>
  <si>
    <t>Pi 2</t>
  </si>
  <si>
    <t>PI 4</t>
  </si>
  <si>
    <t>Monitor</t>
  </si>
  <si>
    <t xml:space="preserve">MicroSD -  Imagin Server Image
</t>
  </si>
  <si>
    <t xml:space="preserve">MicroSD -  Desktop Image
</t>
  </si>
  <si>
    <t>MicroSD - Sign &amp; Reg Image</t>
  </si>
  <si>
    <t>Keyboard</t>
  </si>
  <si>
    <t>Mouse</t>
  </si>
  <si>
    <t>AP's (new style)</t>
  </si>
  <si>
    <t>Server</t>
  </si>
  <si>
    <t>Printer</t>
  </si>
  <si>
    <t>POWER CABLES</t>
  </si>
  <si>
    <t>Old PI power</t>
  </si>
  <si>
    <t xml:space="preserve">PI power (4B)
</t>
  </si>
  <si>
    <t>Monitor Power Cord</t>
  </si>
  <si>
    <t>AP Power Supply (old)</t>
  </si>
  <si>
    <t>AP Power Supply (new)</t>
  </si>
  <si>
    <t xml:space="preserve">Powerstrip - Short
</t>
  </si>
  <si>
    <t>Powerstrip - Long</t>
  </si>
  <si>
    <t>Extenstion cable - Short</t>
  </si>
  <si>
    <t xml:space="preserve">Extension cord - Medium
</t>
  </si>
  <si>
    <t>Extension cord - 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</si>
</sst>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</row>
    <row r="3">
      <c r="A3" s="1" t="s">
        <v>6</v>
      </c>
      <c r="B3" s="1" t="s">
        <v>8</v>
      </c>
    </row>
    <row r="4">
      <c r="A4" s="1" t="s">
        <v>6</v>
      </c>
      <c r="B4" s="1" t="s">
        <v>8</v>
      </c>
    </row>
    <row r="5">
      <c r="A5" s="1" t="s">
        <v>6</v>
      </c>
      <c r="B5" s="1" t="s">
        <v>8</v>
      </c>
    </row>
    <row r="6">
      <c r="A6" s="1" t="s">
        <v>6</v>
      </c>
      <c r="B6" s="1" t="s">
        <v>9</v>
      </c>
      <c r="C6" s="1" t="s">
        <v>10</v>
      </c>
    </row>
    <row r="7">
      <c r="A7" s="1" t="s">
        <v>6</v>
      </c>
      <c r="B7" s="1" t="s">
        <v>11</v>
      </c>
      <c r="C7" s="1" t="s">
        <v>10</v>
      </c>
    </row>
    <row r="8">
      <c r="A8" s="1" t="s">
        <v>6</v>
      </c>
      <c r="B8" s="1" t="s">
        <v>12</v>
      </c>
      <c r="C8" s="1" t="s">
        <v>13</v>
      </c>
    </row>
    <row r="9">
      <c r="A9" s="1" t="s">
        <v>6</v>
      </c>
      <c r="B9" s="1" t="s">
        <v>14</v>
      </c>
      <c r="C9" s="1" t="s">
        <v>15</v>
      </c>
    </row>
    <row r="10">
      <c r="A10" s="1" t="s">
        <v>16</v>
      </c>
      <c r="B10" s="1" t="s">
        <v>7</v>
      </c>
    </row>
    <row r="11">
      <c r="A11" s="1" t="s">
        <v>16</v>
      </c>
      <c r="B11" s="1" t="s">
        <v>8</v>
      </c>
    </row>
    <row r="12">
      <c r="A12" s="1" t="s">
        <v>16</v>
      </c>
      <c r="B12" s="1" t="s">
        <v>8</v>
      </c>
    </row>
    <row r="13">
      <c r="A13" s="1" t="s">
        <v>16</v>
      </c>
      <c r="B13" s="1" t="s">
        <v>8</v>
      </c>
    </row>
    <row r="14">
      <c r="A14" s="1" t="s">
        <v>16</v>
      </c>
      <c r="B14" s="1" t="s">
        <v>9</v>
      </c>
      <c r="C14" s="1" t="s">
        <v>10</v>
      </c>
    </row>
    <row r="15">
      <c r="A15" s="1" t="s">
        <v>16</v>
      </c>
      <c r="B15" s="1" t="s">
        <v>11</v>
      </c>
      <c r="C15" s="1" t="s">
        <v>10</v>
      </c>
    </row>
    <row r="16">
      <c r="A16" s="1" t="s">
        <v>16</v>
      </c>
      <c r="B16" s="1" t="s">
        <v>14</v>
      </c>
      <c r="C16" s="1" t="s">
        <v>13</v>
      </c>
    </row>
    <row r="17">
      <c r="A17" s="1" t="s">
        <v>16</v>
      </c>
      <c r="B17" s="1" t="s">
        <v>17</v>
      </c>
      <c r="C17" s="1" t="s">
        <v>15</v>
      </c>
    </row>
    <row r="18">
      <c r="A18" s="1" t="s">
        <v>18</v>
      </c>
      <c r="B18" s="1" t="s">
        <v>7</v>
      </c>
    </row>
    <row r="19">
      <c r="A19" s="1" t="s">
        <v>18</v>
      </c>
      <c r="B19" s="1" t="s">
        <v>8</v>
      </c>
    </row>
    <row r="20">
      <c r="A20" s="1" t="s">
        <v>18</v>
      </c>
      <c r="B20" s="1" t="s">
        <v>8</v>
      </c>
    </row>
    <row r="21">
      <c r="A21" s="1" t="s">
        <v>18</v>
      </c>
      <c r="B21" s="1" t="s">
        <v>8</v>
      </c>
    </row>
    <row r="22">
      <c r="A22" s="1" t="s">
        <v>18</v>
      </c>
      <c r="B22" s="1" t="s">
        <v>9</v>
      </c>
      <c r="C22" s="1" t="s">
        <v>10</v>
      </c>
    </row>
    <row r="23">
      <c r="A23" s="1" t="s">
        <v>18</v>
      </c>
      <c r="B23" s="1" t="s">
        <v>11</v>
      </c>
      <c r="C23" s="1" t="s">
        <v>10</v>
      </c>
    </row>
    <row r="24">
      <c r="A24" s="1" t="s">
        <v>18</v>
      </c>
      <c r="B24" s="1" t="s">
        <v>19</v>
      </c>
      <c r="C24" s="1" t="s">
        <v>13</v>
      </c>
    </row>
    <row r="25">
      <c r="A25" s="1" t="s">
        <v>18</v>
      </c>
      <c r="B25" s="1" t="s">
        <v>20</v>
      </c>
      <c r="C25" s="1" t="s">
        <v>15</v>
      </c>
    </row>
    <row r="26">
      <c r="A26" s="1" t="s">
        <v>21</v>
      </c>
      <c r="B26" s="1" t="s">
        <v>7</v>
      </c>
    </row>
    <row r="27">
      <c r="A27" s="1" t="s">
        <v>21</v>
      </c>
      <c r="B27" s="1" t="s">
        <v>8</v>
      </c>
    </row>
    <row r="28">
      <c r="A28" s="1" t="s">
        <v>21</v>
      </c>
      <c r="B28" s="1" t="s">
        <v>8</v>
      </c>
    </row>
    <row r="29">
      <c r="A29" s="1" t="s">
        <v>21</v>
      </c>
      <c r="B29" s="1" t="s">
        <v>8</v>
      </c>
    </row>
    <row r="30">
      <c r="A30" s="1" t="s">
        <v>21</v>
      </c>
      <c r="B30" s="1" t="s">
        <v>9</v>
      </c>
      <c r="C30" s="1" t="s">
        <v>10</v>
      </c>
    </row>
    <row r="31">
      <c r="A31" s="1" t="s">
        <v>21</v>
      </c>
      <c r="B31" s="1" t="s">
        <v>11</v>
      </c>
      <c r="C31" s="1" t="s">
        <v>10</v>
      </c>
    </row>
    <row r="32">
      <c r="A32" s="1" t="s">
        <v>21</v>
      </c>
      <c r="B32" s="1" t="s">
        <v>22</v>
      </c>
      <c r="C32" s="1" t="s">
        <v>13</v>
      </c>
    </row>
    <row r="33">
      <c r="A33" s="1" t="s">
        <v>21</v>
      </c>
      <c r="B33" s="1" t="s">
        <v>23</v>
      </c>
      <c r="C33" s="1" t="s">
        <v>15</v>
      </c>
    </row>
  </sheetData>
  <dataValidations>
    <dataValidation type="list" allowBlank="1" showErrorMessage="1" sqref="B2:B100">
      <formula1>'Inventory List'!$A$2:$A$100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25"/>
  </cols>
  <sheetData>
    <row r="1">
      <c r="A1" s="1" t="s">
        <v>24</v>
      </c>
      <c r="B1" s="2" t="s">
        <v>25</v>
      </c>
      <c r="C1" s="2" t="s">
        <v>26</v>
      </c>
      <c r="D1" s="1" t="s">
        <v>27</v>
      </c>
    </row>
    <row r="2">
      <c r="A2" s="3" t="s">
        <v>28</v>
      </c>
    </row>
    <row r="3">
      <c r="A3" s="1" t="s">
        <v>29</v>
      </c>
      <c r="C3">
        <f>COUNTIF(Ballrooms!$B$2:$B$100, A3)</f>
        <v>0</v>
      </c>
    </row>
    <row r="4">
      <c r="A4" s="1" t="s">
        <v>12</v>
      </c>
      <c r="C4">
        <f>COUNTIF(Ballrooms!$B$2:$B$100, A4)</f>
        <v>1</v>
      </c>
    </row>
    <row r="5">
      <c r="A5" s="1" t="s">
        <v>14</v>
      </c>
      <c r="C5">
        <f>COUNTIF(Ballrooms!$B$2:$B$100, A5)</f>
        <v>2</v>
      </c>
    </row>
    <row r="6">
      <c r="A6" s="1" t="s">
        <v>30</v>
      </c>
      <c r="C6">
        <f>COUNTIF(Ballrooms!$B$2:$B$100, A6)</f>
        <v>0</v>
      </c>
    </row>
    <row r="7">
      <c r="A7" s="1" t="s">
        <v>17</v>
      </c>
      <c r="C7">
        <f>COUNTIF(Ballrooms!$B$2:$B$100, A7)</f>
        <v>1</v>
      </c>
    </row>
    <row r="8">
      <c r="A8" s="1" t="s">
        <v>31</v>
      </c>
      <c r="C8">
        <f>COUNTIF(Ballrooms!$B$2:$B$100, A8)</f>
        <v>0</v>
      </c>
    </row>
    <row r="9">
      <c r="A9" s="1" t="s">
        <v>32</v>
      </c>
      <c r="C9">
        <f>COUNTIF(Ballrooms!$B$2:$B$100, A9)</f>
        <v>0</v>
      </c>
    </row>
    <row r="10">
      <c r="A10" s="1" t="s">
        <v>23</v>
      </c>
      <c r="C10">
        <f>COUNTIF(Ballrooms!$B$2:$B$100, A10)</f>
        <v>1</v>
      </c>
    </row>
    <row r="11">
      <c r="A11" s="1" t="s">
        <v>19</v>
      </c>
      <c r="C11">
        <f>COUNTIF(Ballrooms!$B$2:$B$100, A11)</f>
        <v>1</v>
      </c>
    </row>
    <row r="12">
      <c r="A12" s="1" t="s">
        <v>33</v>
      </c>
      <c r="C12">
        <f>COUNTIF(Ballrooms!$B$2:$B$100, A12)</f>
        <v>0</v>
      </c>
    </row>
    <row r="13">
      <c r="A13" s="1" t="s">
        <v>34</v>
      </c>
      <c r="C13">
        <f>COUNTIF(Ballrooms!$B$2:$B$100, A13)</f>
        <v>0</v>
      </c>
    </row>
    <row r="14">
      <c r="A14" s="1" t="s">
        <v>20</v>
      </c>
      <c r="C14">
        <f>COUNTIF(Ballrooms!$B$2:$B$100, A14)</f>
        <v>1</v>
      </c>
    </row>
    <row r="15">
      <c r="A15" s="1" t="s">
        <v>35</v>
      </c>
      <c r="C15">
        <f>COUNTIF(Ballrooms!$B$2:$B$100, A15)</f>
        <v>0</v>
      </c>
    </row>
    <row r="16">
      <c r="A16" s="1" t="s">
        <v>36</v>
      </c>
      <c r="C16">
        <f>COUNTIF(Ballrooms!$B$2:$B$100, A16)</f>
        <v>0</v>
      </c>
    </row>
    <row r="17">
      <c r="A17" s="1" t="s">
        <v>37</v>
      </c>
      <c r="C17">
        <f>COUNTIF(Ballrooms!$B$2:$B$100, A17)</f>
        <v>0</v>
      </c>
    </row>
    <row r="18">
      <c r="A18" s="1" t="s">
        <v>22</v>
      </c>
      <c r="C18">
        <f>COUNTIF(Ballrooms!$B$2:$B$100, A18)</f>
        <v>1</v>
      </c>
    </row>
    <row r="19">
      <c r="A19" s="1" t="s">
        <v>38</v>
      </c>
      <c r="C19">
        <f>COUNTIF(Ballrooms!$B$2:$B$100, A19)</f>
        <v>0</v>
      </c>
    </row>
    <row r="20">
      <c r="A20" s="1" t="s">
        <v>39</v>
      </c>
      <c r="C20">
        <f>COUNTIF(Ballrooms!$B$2:$B$100, A20)</f>
        <v>0</v>
      </c>
    </row>
    <row r="21">
      <c r="A21" s="1" t="s">
        <v>40</v>
      </c>
      <c r="C21">
        <f>COUNTIF(Ballrooms!$B$2:$B$100, A21)</f>
        <v>0</v>
      </c>
    </row>
    <row r="22">
      <c r="A22" s="1" t="s">
        <v>41</v>
      </c>
      <c r="C22">
        <f>COUNTIF(Ballrooms!$B$2:$B$100, A22)</f>
        <v>0</v>
      </c>
    </row>
    <row r="23">
      <c r="A23" s="1" t="s">
        <v>42</v>
      </c>
      <c r="C23">
        <f>COUNTIF(Ballrooms!$B$2:$B$100, A23)</f>
        <v>0</v>
      </c>
    </row>
    <row r="24">
      <c r="A24" s="1" t="s">
        <v>43</v>
      </c>
      <c r="C24">
        <f>COUNTIF(Ballrooms!$B$2:$B$100, A24)</f>
        <v>0</v>
      </c>
    </row>
    <row r="25">
      <c r="A25" s="3" t="s">
        <v>44</v>
      </c>
    </row>
    <row r="26">
      <c r="A26" s="1" t="s">
        <v>45</v>
      </c>
      <c r="C26">
        <f>COUNTIF(Ballrooms!$B$2:$B$100, A26)</f>
        <v>0</v>
      </c>
    </row>
    <row r="27">
      <c r="A27" s="1" t="s">
        <v>46</v>
      </c>
      <c r="C27">
        <f>COUNTIF(Ballrooms!$B$2:$B$100, A27)</f>
        <v>0</v>
      </c>
    </row>
    <row r="28">
      <c r="A28" s="1" t="s">
        <v>47</v>
      </c>
      <c r="B28" s="1">
        <v>30.0</v>
      </c>
      <c r="C28">
        <f>COUNTIF(Ballrooms!$B$2:$B$100, A28)</f>
        <v>0</v>
      </c>
    </row>
    <row r="29">
      <c r="A29" s="1" t="s">
        <v>48</v>
      </c>
      <c r="C29">
        <f>COUNTIF(Ballrooms!$B$2:$B$100, A29)</f>
        <v>0</v>
      </c>
    </row>
    <row r="30">
      <c r="A30" s="4" t="s">
        <v>49</v>
      </c>
      <c r="C30">
        <f>COUNTIF(Ballrooms!$B$2:$B$100, A30)</f>
        <v>0</v>
      </c>
    </row>
    <row r="31">
      <c r="A31" s="4" t="s">
        <v>50</v>
      </c>
      <c r="C31">
        <f>COUNTIF(Ballrooms!$B$2:$B$100, A31)</f>
        <v>0</v>
      </c>
    </row>
    <row r="32">
      <c r="A32" s="4" t="s">
        <v>51</v>
      </c>
      <c r="C32">
        <f>COUNTIF(Ballrooms!$B$2:$B$100, A32)</f>
        <v>0</v>
      </c>
    </row>
    <row r="33">
      <c r="A33" s="1" t="s">
        <v>52</v>
      </c>
      <c r="C33">
        <f>COUNTIF(Ballrooms!$B$2:$B$100, A33)</f>
        <v>0</v>
      </c>
    </row>
    <row r="34">
      <c r="A34" s="1" t="s">
        <v>53</v>
      </c>
      <c r="C34">
        <f>COUNTIF(Ballrooms!$B$2:$B$100, A34)</f>
        <v>0</v>
      </c>
    </row>
    <row r="35">
      <c r="A35" s="1" t="s">
        <v>8</v>
      </c>
      <c r="C35">
        <f>COUNTIF(Ballrooms!$B$2:$B$100, A35)</f>
        <v>12</v>
      </c>
    </row>
    <row r="36">
      <c r="A36" s="1" t="s">
        <v>54</v>
      </c>
      <c r="C36">
        <f>COUNTIF(Ballrooms!$B$2:$B$100, A36)</f>
        <v>0</v>
      </c>
    </row>
    <row r="37">
      <c r="A37" s="1" t="s">
        <v>7</v>
      </c>
      <c r="C37">
        <f>COUNTIF(Ballrooms!$B$2:$B$100, A37)</f>
        <v>4</v>
      </c>
    </row>
    <row r="38">
      <c r="A38" s="1" t="s">
        <v>55</v>
      </c>
      <c r="C38">
        <f>COUNTIF(Ballrooms!$B$2:$B$100, A38)</f>
        <v>0</v>
      </c>
    </row>
    <row r="39">
      <c r="A39" s="1" t="s">
        <v>56</v>
      </c>
      <c r="C39">
        <f>COUNTIF(Ballrooms!$B$2:$B$100, A39)</f>
        <v>0</v>
      </c>
    </row>
    <row r="40">
      <c r="A40" s="3" t="s">
        <v>57</v>
      </c>
    </row>
    <row r="41">
      <c r="A41" s="1" t="s">
        <v>58</v>
      </c>
      <c r="C41">
        <f>COUNTIF(Ballrooms!$B$2:$B$100, A41)</f>
        <v>0</v>
      </c>
    </row>
    <row r="42">
      <c r="A42" s="1" t="s">
        <v>59</v>
      </c>
      <c r="B42" s="1">
        <v>30.0</v>
      </c>
      <c r="C42">
        <f>COUNTIF(Ballrooms!$B$2:$B$100, A42)</f>
        <v>0</v>
      </c>
    </row>
    <row r="43">
      <c r="A43" s="4" t="s">
        <v>60</v>
      </c>
      <c r="C43">
        <f>COUNTIF(Ballrooms!$B$2:$B$100, A43)</f>
        <v>0</v>
      </c>
    </row>
    <row r="44">
      <c r="A44" s="1" t="s">
        <v>61</v>
      </c>
      <c r="C44">
        <f>COUNTIF(Ballrooms!$B$2:$B$100, A44)</f>
        <v>0</v>
      </c>
    </row>
    <row r="45">
      <c r="A45" s="1" t="s">
        <v>62</v>
      </c>
      <c r="C45">
        <f>COUNTIF(Ballrooms!$B$2:$B$100, A45)</f>
        <v>0</v>
      </c>
    </row>
    <row r="46">
      <c r="A46" s="1" t="s">
        <v>63</v>
      </c>
      <c r="C46">
        <f>COUNTIF(Ballrooms!$B$2:$B$100, A46)</f>
        <v>0</v>
      </c>
    </row>
    <row r="47">
      <c r="A47" s="1" t="s">
        <v>64</v>
      </c>
      <c r="C47">
        <f>COUNTIF(Ballrooms!$B$2:$B$100, A47)</f>
        <v>0</v>
      </c>
    </row>
    <row r="48">
      <c r="A48" s="1" t="s">
        <v>65</v>
      </c>
      <c r="C48">
        <f>COUNTIF(Ballrooms!$B$2:$B$100, A48)</f>
        <v>0</v>
      </c>
    </row>
    <row r="49">
      <c r="A49" s="1" t="s">
        <v>66</v>
      </c>
      <c r="C49">
        <f>COUNTIF(Ballrooms!$B$2:$B$100, A49)</f>
        <v>0</v>
      </c>
    </row>
    <row r="50">
      <c r="A50" s="1" t="s">
        <v>67</v>
      </c>
      <c r="C50">
        <f>COUNTIF(Ballrooms!$B$2:$B$100, A50)</f>
        <v>0</v>
      </c>
    </row>
  </sheetData>
  <drawing r:id="rId1"/>
</worksheet>
</file>